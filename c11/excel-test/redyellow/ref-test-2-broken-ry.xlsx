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redyellow/"/>
    </mc:Choice>
  </mc:AlternateContent>
  <xr:revisionPtr revIDLastSave="0" documentId="13_ncr:1_{B86FBADB-AC30-D549-AD69-44299AC20205}" xr6:coauthVersionLast="47" xr6:coauthVersionMax="47" xr10:uidLastSave="{00000000-0000-0000-0000-000000000000}"/>
  <bookViews>
    <workbookView xWindow="7800" yWindow="3620" windowWidth="25980" windowHeight="11080" activeTab="4" xr2:uid="{BADD4262-39A3-CA4C-9AB2-518761DE3C50}"/>
  </bookViews>
  <sheets>
    <sheet name="Sales &amp; Targets" sheetId="1" r:id="rId1"/>
    <sheet name="Targets Met" sheetId="2" r:id="rId2"/>
    <sheet name="Reference Results" sheetId="3" r:id="rId3"/>
    <sheet name="Per-Cell Validation" sheetId="4" r:id="rId4"/>
    <sheet name="PASS &amp; FAIL 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B14" i="2"/>
  <c r="D13" i="2"/>
  <c r="C13" i="2"/>
  <c r="C13" i="4" s="1"/>
  <c r="B13" i="2"/>
  <c r="B13" i="4" s="1"/>
  <c r="D12" i="2"/>
  <c r="D12" i="4" s="1"/>
  <c r="C12" i="2"/>
  <c r="B12" i="2"/>
  <c r="D11" i="2"/>
  <c r="D11" i="4" s="1"/>
  <c r="C11" i="2"/>
  <c r="B11" i="2"/>
  <c r="D10" i="2"/>
  <c r="D10" i="4" s="1"/>
  <c r="C10" i="2"/>
  <c r="C10" i="4" s="1"/>
  <c r="B10" i="2"/>
  <c r="B10" i="4" s="1"/>
  <c r="D9" i="2"/>
  <c r="D9" i="4" s="1"/>
  <c r="C9" i="2"/>
  <c r="C9" i="4" s="1"/>
  <c r="B9" i="2"/>
  <c r="B16" i="2" s="1"/>
  <c r="B16" i="4" s="1"/>
  <c r="D8" i="2"/>
  <c r="D8" i="4" s="1"/>
  <c r="C8" i="2"/>
  <c r="C8" i="4" s="1"/>
  <c r="B8" i="2"/>
  <c r="D7" i="2"/>
  <c r="C7" i="2"/>
  <c r="B7" i="2"/>
  <c r="D6" i="2"/>
  <c r="C6" i="2"/>
  <c r="B6" i="2"/>
  <c r="D5" i="2"/>
  <c r="C5" i="2"/>
  <c r="B5" i="2"/>
  <c r="D4" i="2"/>
  <c r="D4" i="4" s="1"/>
  <c r="C4" i="2"/>
  <c r="C4" i="4" s="1"/>
  <c r="B4" i="2"/>
  <c r="B4" i="4" s="1"/>
  <c r="D3" i="2"/>
  <c r="D3" i="4" s="1"/>
  <c r="C3" i="2"/>
  <c r="C3" i="4" s="1"/>
  <c r="B3" i="2"/>
  <c r="B3" i="4" s="1"/>
  <c r="C12" i="4"/>
  <c r="B12" i="4"/>
  <c r="C11" i="4"/>
  <c r="B11" i="4"/>
  <c r="C5" i="4"/>
  <c r="D5" i="4"/>
  <c r="B6" i="4"/>
  <c r="C6" i="4"/>
  <c r="D6" i="4"/>
  <c r="B7" i="4"/>
  <c r="C7" i="4"/>
  <c r="D7" i="4"/>
  <c r="B8" i="4"/>
  <c r="D13" i="4"/>
  <c r="B14" i="4"/>
  <c r="C14" i="4"/>
  <c r="D14" i="4"/>
  <c r="B5" i="4"/>
  <c r="A4" i="2"/>
  <c r="A5" i="2"/>
  <c r="A6" i="2"/>
  <c r="A7" i="2"/>
  <c r="A8" i="2"/>
  <c r="A9" i="2"/>
  <c r="A10" i="2"/>
  <c r="A11" i="2"/>
  <c r="A12" i="2"/>
  <c r="A13" i="2"/>
  <c r="A14" i="2"/>
  <c r="A3" i="2"/>
  <c r="D16" i="2" l="1"/>
  <c r="D16" i="4" s="1"/>
  <c r="C16" i="2"/>
  <c r="C16" i="4" s="1"/>
  <c r="B9" i="4"/>
  <c r="B3" i="5"/>
  <c r="B4" i="5" l="1"/>
  <c r="B6" i="5" s="1"/>
</calcChain>
</file>

<file path=xl/sharedStrings.xml><?xml version="1.0" encoding="utf-8"?>
<sst xmlns="http://schemas.openxmlformats.org/spreadsheetml/2006/main" count="81" uniqueCount="25">
  <si>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</si>
  <si>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</si>
  <si>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</si>
  <si>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</si>
  <si>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</si>
  <si>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</si>
  <si>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</si>
  <si>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</si>
  <si>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</si>
  <si>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</si>
  <si>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</si>
  <si>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</si>
  <si>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</si>
  <si>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</si>
  <si>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</si>
  <si>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</si>
  <si>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</si>
  <si>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</si>
  <si>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</si>
  <si>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/>
  </si>
  <si>
    <t>Passes</t>
  </si>
  <si>
    <t>Failures</t>
  </si>
  <si>
    <t>Percentage Pass</t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</si>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</sst>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10" xfId="0" applyNumberFormat="1" applyFont="1" applyBorder="1"/>
    <xf numFmtId="10" fontId="1" fillId="0" borderId="11" xfId="0" applyNumberFormat="1" applyFont="1" applyBorder="1"/>
    <xf numFmtId="10" fontId="1" fillId="0" borderId="1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/>
    <xf numFmtId="10" fontId="1" fillId="0" borderId="9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workbookViewId="0"/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29" t="s">
        <v>6</v>
      </c>
      <c r="C1" s="29"/>
      <c r="D1" s="29"/>
      <c r="F1" s="29" t="s">
        <v>7</v>
      </c>
      <c r="G1" s="29"/>
      <c r="H1" s="29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workbookViewId="0">
      <selection activeCell="J16" sqref="J16"/>
    </sheetView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29" t="s">
        <v>8</v>
      </c>
      <c r="C1" s="29"/>
      <c r="D1" s="29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Targets'!B3&gt;'Sales &amp; Targets'!F3, "MET", "MISSED"),"")</f>
        <v>MISSED</v>
      </c>
      <c r="C3" s="4" t="str">
        <f>IF(NOT(ISBLANK('Sales &amp; Targets'!C3)),IF('Sales &amp; Targets'!C3&gt;'Sales &amp; Targets'!G3, "MET", "MISSED"),"")</f>
        <v>MISSED</v>
      </c>
      <c r="D3" s="5" t="str">
        <f>IF(NOT(ISBLANK('Sales &amp; Targets'!D3)),IF('Sales &amp; Targets'!D3&gt;'Sales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Targets'!B4&gt;'Sales &amp; Targets'!F4, "MET", "MISSED"),"")</f>
        <v>MISSED</v>
      </c>
      <c r="C4" s="1" t="str">
        <f>IF(NOT(ISBLANK('Sales &amp; Targets'!C4)),IF('Sales &amp; Targets'!C4&gt;'Sales &amp; Targets'!G4, "MET", "MISSED"),"")</f>
        <v>MISSED</v>
      </c>
      <c r="D4" s="7" t="str">
        <f>IF(NOT(ISBLANK('Sales &amp; Targets'!D4)),IF('Sales &amp; Targets'!D4&gt;'Sales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Targets'!B5&gt;'Sales &amp; Targets'!F5, "MET", "MISSED"),"")</f>
        <v>MET</v>
      </c>
      <c r="C5" s="1" t="str">
        <f>IF(NOT(ISBLANK('Sales &amp; Targets'!C5)),IF('Sales &amp; Targets'!C5&gt;'Sales &amp; Targets'!G5, "MET", "MISSED"),"")</f>
        <v>MET</v>
      </c>
      <c r="D5" s="7" t="str">
        <f>IF(NOT(ISBLANK('Sales &amp; Targets'!D5)),IF('Sales &amp; Targets'!D5&gt;'Sales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Targets'!B6&gt;'Sales &amp; Targets'!F6, "MET", "MISSED"),"")</f>
        <v/>
      </c>
      <c r="C6" s="1" t="str">
        <f>IF(NOT(ISBLANK('Sales &amp; Targets'!C6)),IF('Sales &amp; Targets'!C6&gt;'Sales &amp; Targets'!G6, "MET", "MISSED"),"")</f>
        <v/>
      </c>
      <c r="D6" s="7" t="str">
        <f>IF(NOT(ISBLANK('Sales &amp; Targets'!D6)),IF('Sales &amp; Targets'!D6&gt;'Sales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Targets'!B7&gt;'Sales &amp; Targets'!F7, "MET", "MISSED"),"")</f>
        <v/>
      </c>
      <c r="C7" s="1" t="str">
        <f>IF(NOT(ISBLANK('Sales &amp; Targets'!C7)),IF('Sales &amp; Targets'!C7&gt;'Sales &amp; Targets'!G7, "MET", "MISSED"),"")</f>
        <v/>
      </c>
      <c r="D7" s="7" t="str">
        <f>IF(NOT(ISBLANK('Sales &amp; Targets'!D7)),IF('Sales &amp; Targets'!D7&gt;'Sales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Targets'!B8&gt;'Sales &amp; Targets'!F8, "MET", "MISSED"),"")</f>
        <v/>
      </c>
      <c r="C8" s="1" t="str">
        <f>IF(NOT(ISBLANK('Sales &amp; Targets'!C8)),IF('Sales &amp; Targets'!C8&gt;'Sales &amp; Targets'!G8, "MET", "MISSED"),"")</f>
        <v/>
      </c>
      <c r="D8" s="7" t="str">
        <f>IF(NOT(ISBLANK('Sales &amp; Targets'!D8)),IF('Sales &amp; Targets'!D8&gt;'Sales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Targets'!B9&gt;'Sales &amp; Targets'!F9, "MET", "MISSED"),"")</f>
        <v/>
      </c>
      <c r="C9" s="1" t="str">
        <f>IF(NOT(ISBLANK('Sales &amp; Targets'!C9)),IF('Sales &amp; Targets'!C9&gt;'Sales &amp; Targets'!G9, "MET", "MISSED"),"")</f>
        <v/>
      </c>
      <c r="D9" s="7" t="str">
        <f>IF(NOT(ISBLANK('Sales &amp; Targets'!D9)),IF('Sales &amp; Targets'!D9&gt;'Sales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Targets'!B10&gt;'Sales &amp; Targets'!F10, "MET", "MISSED"),"")</f>
        <v/>
      </c>
      <c r="C10" s="1" t="str">
        <f>IF(NOT(ISBLANK('Sales &amp; Targets'!C10)),IF('Sales &amp; Targets'!C10&gt;'Sales &amp; Targets'!G10, "MET", "MISSED"),"")</f>
        <v/>
      </c>
      <c r="D10" s="7" t="str">
        <f>IF(NOT(ISBLANK('Sales &amp; Targets'!D10)),IF('Sales &amp; Targets'!D10&gt;'Sales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Targets'!B11&gt;'Sales &amp; Targets'!F11, "MET", "MISSED"),"")</f>
        <v/>
      </c>
      <c r="C11" s="1" t="str">
        <f>IF(NOT(ISBLANK('Sales &amp; Targets'!C11)),IF('Sales &amp; Targets'!C11&gt;'Sales &amp; Targets'!G11, "MET", "MISSED"),"")</f>
        <v/>
      </c>
      <c r="D11" s="7" t="str">
        <f>IF(NOT(ISBLANK('Sales &amp; Targets'!D11)),IF('Sales &amp; Targets'!D11&gt;'Sales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Targets'!B12&gt;'Sales &amp; Targets'!F12, "MET", "MISSED"),"")</f>
        <v/>
      </c>
      <c r="C12" s="1" t="str">
        <f>IF(NOT(ISBLANK('Sales &amp; Targets'!C12)),IF('Sales &amp; Targets'!C12&gt;'Sales &amp; Targets'!G12, "MET", "MISSED"),"")</f>
        <v/>
      </c>
      <c r="D12" s="7" t="str">
        <f>IF(NOT(ISBLANK('Sales &amp; Targets'!D12)),IF('Sales &amp; Targets'!D12&gt;'Sales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Targets'!B13&gt;'Sales &amp; Targets'!F13, "MET", "MISSED"),"")</f>
        <v/>
      </c>
      <c r="C13" s="1" t="str">
        <f>IF(NOT(ISBLANK('Sales &amp; Targets'!C13)),IF('Sales &amp; Targets'!C13&gt;'Sales &amp; Targets'!G13, "MET", "MISSED"),"")</f>
        <v/>
      </c>
      <c r="D13" s="7" t="str">
        <f>IF(NOT(ISBLANK('Sales &amp; Targets'!D13)),IF('Sales &amp; Targets'!D13&gt;'Sales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Targets'!B14&gt;'Sales &amp; Targets'!F14, "MET", "MISSED"),"")</f>
        <v/>
      </c>
      <c r="C14" s="9" t="str">
        <f>IF(NOT(ISBLANK('Sales &amp; Targets'!C14)),IF('Sales &amp; Targets'!C14&gt;'Sales &amp; Targets'!G14, "MET", "MISSED"),"")</f>
        <v/>
      </c>
      <c r="D14" s="10" t="str">
        <f>IF(NOT(ISBLANK('Sales &amp; Targets'!D14)),IF('Sales &amp; Targets'!D14&gt;'Sales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0.33333333333333331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22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29" t="s">
        <v>8</v>
      </c>
      <c r="C1" s="29"/>
      <c r="D1" s="29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23</v>
      </c>
      <c r="C3" s="4" t="s">
        <v>24</v>
      </c>
      <c r="D3" s="5" t="s">
        <v>23</v>
      </c>
    </row>
    <row r="4" spans="1:4" x14ac:dyDescent="0.2">
      <c r="A4" s="11" t="s">
        <v>1</v>
      </c>
      <c r="B4" s="6" t="s">
        <v>23</v>
      </c>
      <c r="C4" s="1" t="s">
        <v>24</v>
      </c>
      <c r="D4" s="7" t="s">
        <v>23</v>
      </c>
    </row>
    <row r="5" spans="1:4" x14ac:dyDescent="0.2">
      <c r="A5" s="11" t="s">
        <v>2</v>
      </c>
      <c r="B5" s="6" t="s">
        <v>24</v>
      </c>
      <c r="C5" s="1" t="s">
        <v>24</v>
      </c>
      <c r="D5" s="7" t="s">
        <v>24</v>
      </c>
    </row>
    <row r="6" spans="1:4" x14ac:dyDescent="0.2">
      <c r="A6" s="11" t="s">
        <v>9</v>
      </c>
      <c r="B6" s="6" t="s">
        <v>19</v>
      </c>
      <c r="C6" s="1" t="s">
        <v>19</v>
      </c>
      <c r="D6" s="7" t="s">
        <v>19</v>
      </c>
    </row>
    <row r="7" spans="1:4" x14ac:dyDescent="0.2">
      <c r="A7" s="11" t="s">
        <v>10</v>
      </c>
      <c r="B7" s="6" t="s">
        <v>19</v>
      </c>
      <c r="C7" s="1" t="s">
        <v>19</v>
      </c>
      <c r="D7" s="7" t="s">
        <v>19</v>
      </c>
    </row>
    <row r="8" spans="1:4" x14ac:dyDescent="0.2">
      <c r="A8" s="11" t="s">
        <v>11</v>
      </c>
      <c r="B8" s="6" t="s">
        <v>19</v>
      </c>
      <c r="C8" s="1" t="s">
        <v>19</v>
      </c>
      <c r="D8" s="7" t="s">
        <v>19</v>
      </c>
    </row>
    <row r="9" spans="1:4" x14ac:dyDescent="0.2">
      <c r="A9" s="11" t="s">
        <v>12</v>
      </c>
      <c r="B9" s="6" t="s">
        <v>19</v>
      </c>
      <c r="C9" s="1" t="s">
        <v>19</v>
      </c>
      <c r="D9" s="7" t="s">
        <v>19</v>
      </c>
    </row>
    <row r="10" spans="1:4" x14ac:dyDescent="0.2">
      <c r="A10" s="11" t="s">
        <v>13</v>
      </c>
      <c r="B10" s="6" t="s">
        <v>19</v>
      </c>
      <c r="C10" s="1" t="s">
        <v>19</v>
      </c>
      <c r="D10" s="7" t="s">
        <v>19</v>
      </c>
    </row>
    <row r="11" spans="1:4" x14ac:dyDescent="0.2">
      <c r="A11" s="11" t="s">
        <v>14</v>
      </c>
      <c r="B11" s="6" t="s">
        <v>19</v>
      </c>
      <c r="C11" s="1" t="s">
        <v>19</v>
      </c>
      <c r="D11" s="7" t="s">
        <v>19</v>
      </c>
    </row>
    <row r="12" spans="1:4" x14ac:dyDescent="0.2">
      <c r="A12" s="11" t="s">
        <v>15</v>
      </c>
      <c r="B12" s="6" t="s">
        <v>19</v>
      </c>
      <c r="C12" s="1" t="s">
        <v>19</v>
      </c>
      <c r="D12" s="7" t="s">
        <v>19</v>
      </c>
    </row>
    <row r="13" spans="1:4" x14ac:dyDescent="0.2">
      <c r="A13" s="11" t="s">
        <v>16</v>
      </c>
      <c r="B13" s="6" t="s">
        <v>19</v>
      </c>
      <c r="C13" s="1" t="s">
        <v>19</v>
      </c>
      <c r="D13" s="7" t="s">
        <v>19</v>
      </c>
    </row>
    <row r="14" spans="1:4" x14ac:dyDescent="0.2">
      <c r="A14" s="11" t="s">
        <v>17</v>
      </c>
      <c r="B14" s="8" t="s">
        <v>19</v>
      </c>
      <c r="C14" s="9" t="s">
        <v>19</v>
      </c>
      <c r="D14" s="10" t="s">
        <v>19</v>
      </c>
    </row>
    <row r="15" spans="1:4" x14ac:dyDescent="0.2">
      <c r="A15" s="11"/>
    </row>
    <row r="16" spans="1:4" x14ac:dyDescent="0.2">
      <c r="A16" s="11" t="s">
        <v>18</v>
      </c>
      <c r="B16" s="12">
        <v>0.33333333333333331</v>
      </c>
      <c r="C16" s="13">
        <v>1</v>
      </c>
      <c r="D16" s="14">
        <v>0.33333333333333331</v>
      </c>
    </row>
  </sheetData>
  <mergeCells count="1">
    <mergeCell ref="B1:D1"/>
  </mergeCells>
  <conditionalFormatting sqref="B4:D14 C3:D3">
    <cfRule type="cellIs" dxfId="21" priority="2" operator="equal">
      <formula>0</formula>
    </cfRule>
  </conditionalFormatting>
  <conditionalFormatting sqref="B3:D5">
    <cfRule type="cellIs" dxfId="2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1FC-0CCF-4943-B04F-2571AA1FD48D}">
  <dimension ref="B3:D16"/>
  <sheetViews>
    <sheetView workbookViewId="0">
      <selection activeCell="B16" activeCellId="1" sqref="B3:D14 B16:D16"/>
    </sheetView>
  </sheetViews>
  <sheetFormatPr baseColWidth="10" defaultRowHeight="16" x14ac:dyDescent="0.2"/>
  <cols>
    <col min="1" max="16384" width="10.83203125" style="1"/>
  </cols>
  <sheetData>
    <row r="3" spans="2:4" x14ac:dyDescent="0.2">
      <c r="B3" s="15" t="str">
        <f>IF('Targets Met'!B3='Reference Results'!B3, "PASS", "FAIL")</f>
        <v>PASS</v>
      </c>
      <c r="C3" s="16" t="str">
        <f>IF('Targets Met'!C3='Reference Results'!C3, "PASS", "FAIL")</f>
        <v>FAIL</v>
      </c>
      <c r="D3" s="17" t="str">
        <f>IF('Targets Met'!D3='Reference Results'!D3, "PASS", "FAIL")</f>
        <v>PASS</v>
      </c>
    </row>
    <row r="4" spans="2:4" x14ac:dyDescent="0.2">
      <c r="B4" s="18" t="str">
        <f>IF('Targets Met'!B4='Reference Results'!B4, "PASS", "FAIL")</f>
        <v>PASS</v>
      </c>
      <c r="C4" s="19" t="str">
        <f>IF('Targets Met'!C4='Reference Results'!C4, "PASS", "FAIL")</f>
        <v>FAIL</v>
      </c>
      <c r="D4" s="20" t="str">
        <f>IF('Targets Met'!D4='Reference Results'!D4, "PASS", "FAIL")</f>
        <v>PASS</v>
      </c>
    </row>
    <row r="5" spans="2:4" x14ac:dyDescent="0.2">
      <c r="B5" s="18" t="str">
        <f>IF('Targets Met'!B5='Reference Results'!B5, "PASS", "FAIL")</f>
        <v>PASS</v>
      </c>
      <c r="C5" s="19" t="str">
        <f>IF('Targets Met'!C5='Reference Results'!C5, "PASS", "FAIL")</f>
        <v>PASS</v>
      </c>
      <c r="D5" s="20" t="str">
        <f>IF('Targets Met'!D5='Reference Results'!D5, "PASS", "FAIL")</f>
        <v>PASS</v>
      </c>
    </row>
    <row r="6" spans="2:4" x14ac:dyDescent="0.2">
      <c r="B6" s="18" t="str">
        <f>IF('Targets Met'!B6='Reference Results'!B6, "PASS", "FAIL")</f>
        <v>PASS</v>
      </c>
      <c r="C6" s="19" t="str">
        <f>IF('Targets Met'!C6='Reference Results'!C6, "PASS", "FAIL")</f>
        <v>PASS</v>
      </c>
      <c r="D6" s="20" t="str">
        <f>IF('Targets Met'!D6='Reference Results'!D6, "PASS", "FAIL")</f>
        <v>PASS</v>
      </c>
    </row>
    <row r="7" spans="2:4" x14ac:dyDescent="0.2">
      <c r="B7" s="18" t="str">
        <f>IF('Targets Met'!B7='Reference Results'!B7, "PASS", "FAIL")</f>
        <v>PASS</v>
      </c>
      <c r="C7" s="19" t="str">
        <f>IF('Targets Met'!C7='Reference Results'!C7, "PASS", "FAIL")</f>
        <v>PASS</v>
      </c>
      <c r="D7" s="20" t="str">
        <f>IF('Targets Met'!D7='Reference Results'!D7, "PASS", "FAIL")</f>
        <v>PASS</v>
      </c>
    </row>
    <row r="8" spans="2:4" x14ac:dyDescent="0.2">
      <c r="B8" s="18" t="str">
        <f>IF('Targets Met'!B8='Reference Results'!B8, "PASS", "FAIL")</f>
        <v>PASS</v>
      </c>
      <c r="C8" s="19" t="str">
        <f>IF('Targets Met'!C8='Reference Results'!C8, "PASS", "FAIL")</f>
        <v>PASS</v>
      </c>
      <c r="D8" s="20" t="str">
        <f>IF('Targets Met'!D8='Reference Results'!D8, "PASS", "FAIL")</f>
        <v>PASS</v>
      </c>
    </row>
    <row r="9" spans="2:4" x14ac:dyDescent="0.2">
      <c r="B9" s="18" t="str">
        <f>IF('Targets Met'!B9='Reference Results'!B9, "PASS", "FAIL")</f>
        <v>PASS</v>
      </c>
      <c r="C9" s="19" t="str">
        <f>IF('Targets Met'!C9='Reference Results'!C9, "PASS", "FAIL")</f>
        <v>PASS</v>
      </c>
      <c r="D9" s="20" t="str">
        <f>IF('Targets Met'!D9='Reference Results'!D9, "PASS", "FAIL")</f>
        <v>PASS</v>
      </c>
    </row>
    <row r="10" spans="2:4" x14ac:dyDescent="0.2">
      <c r="B10" s="18" t="str">
        <f>IF('Targets Met'!B10='Reference Results'!B10, "PASS", "FAIL")</f>
        <v>PASS</v>
      </c>
      <c r="C10" s="19" t="str">
        <f>IF('Targets Met'!C10='Reference Results'!C10, "PASS", "FAIL")</f>
        <v>PASS</v>
      </c>
      <c r="D10" s="20" t="str">
        <f>IF('Targets Met'!D10='Reference Results'!D10, "PASS", "FAIL")</f>
        <v>PASS</v>
      </c>
    </row>
    <row r="11" spans="2:4" x14ac:dyDescent="0.2">
      <c r="B11" s="18" t="str">
        <f>IF('Targets Met'!B11='Reference Results'!B11, "PASS", "FAIL")</f>
        <v>PASS</v>
      </c>
      <c r="C11" s="19" t="str">
        <f>IF('Targets Met'!C11='Reference Results'!C11, "PASS", "FAIL")</f>
        <v>PASS</v>
      </c>
      <c r="D11" s="20" t="str">
        <f>IF('Targets Met'!D11='Reference Results'!D11, "PASS", "FAIL")</f>
        <v>PASS</v>
      </c>
    </row>
    <row r="12" spans="2:4" x14ac:dyDescent="0.2">
      <c r="B12" s="18" t="str">
        <f>IF('Targets Met'!B12='Reference Results'!B12, "PASS", "FAIL")</f>
        <v>PASS</v>
      </c>
      <c r="C12" s="19" t="str">
        <f>IF('Targets Met'!C12='Reference Results'!C12, "PASS", "FAIL")</f>
        <v>PASS</v>
      </c>
      <c r="D12" s="20" t="str">
        <f>IF('Targets Met'!D12='Reference Results'!D12, "PASS", "FAIL")</f>
        <v>PASS</v>
      </c>
    </row>
    <row r="13" spans="2:4" x14ac:dyDescent="0.2">
      <c r="B13" s="18" t="str">
        <f>IF('Targets Met'!B13='Reference Results'!B13, "PASS", "FAIL")</f>
        <v>PASS</v>
      </c>
      <c r="C13" s="19" t="str">
        <f>IF('Targets Met'!C13='Reference Results'!C13, "PASS", "FAIL")</f>
        <v>PASS</v>
      </c>
      <c r="D13" s="20" t="str">
        <f>IF('Targets Met'!D13='Reference Results'!D13, "PASS", "FAIL")</f>
        <v>PASS</v>
      </c>
    </row>
    <row r="14" spans="2:4" x14ac:dyDescent="0.2">
      <c r="B14" s="21" t="str">
        <f>IF('Targets Met'!B14='Reference Results'!B14, "PASS", "FAIL")</f>
        <v>PASS</v>
      </c>
      <c r="C14" s="22" t="str">
        <f>IF('Targets Met'!C14='Reference Results'!C14, "PASS", "FAIL")</f>
        <v>PASS</v>
      </c>
      <c r="D14" s="23" t="str">
        <f>IF('Targets Met'!D14='Reference Results'!D14, "PASS", "FAIL")</f>
        <v>PASS</v>
      </c>
    </row>
    <row r="15" spans="2:4" x14ac:dyDescent="0.2">
      <c r="B15" s="19"/>
      <c r="C15" s="19"/>
      <c r="D15" s="19"/>
    </row>
    <row r="16" spans="2:4" x14ac:dyDescent="0.2">
      <c r="B16" s="24" t="str">
        <f>IF('Targets Met'!B16='Reference Results'!B16, "PASS", "FAIL")</f>
        <v>PASS</v>
      </c>
      <c r="C16" s="25" t="str">
        <f>IF('Targets Met'!C16='Reference Results'!C16, "PASS", "FAIL")</f>
        <v>FAIL</v>
      </c>
      <c r="D16" s="26" t="str">
        <f>IF('Targets Met'!D16='Reference Results'!D16, "PASS", "FAIL")</f>
        <v>PASS</v>
      </c>
    </row>
  </sheetData>
  <conditionalFormatting sqref="B3:D14">
    <cfRule type="cellIs" dxfId="16" priority="9" operator="equal">
      <formula>"PASS"</formula>
    </cfRule>
    <cfRule type="cellIs" dxfId="19" priority="10" operator="equal">
      <formula>"FAIL"</formula>
    </cfRule>
  </conditionalFormatting>
  <conditionalFormatting sqref="B16:D16">
    <cfRule type="cellIs" dxfId="17" priority="1" operator="equal">
      <formula>"PASS"</formula>
    </cfRule>
    <cfRule type="cellIs" dxfId="18" priority="2" operator="equal">
      <formula>"FAIL"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61FC-D66E-F740-AC4C-0B3B5A444143}">
  <dimension ref="A3:B6"/>
  <sheetViews>
    <sheetView tabSelected="1" workbookViewId="0">
      <selection activeCell="J9" sqref="J9"/>
    </sheetView>
  </sheetViews>
  <sheetFormatPr baseColWidth="10" defaultRowHeight="16" x14ac:dyDescent="0.2"/>
  <cols>
    <col min="1" max="1" width="17.33203125" style="1" customWidth="1"/>
    <col min="2" max="16384" width="10.83203125" style="1"/>
  </cols>
  <sheetData>
    <row r="3" spans="1:2" x14ac:dyDescent="0.2">
      <c r="A3" s="1" t="s">
        <v>20</v>
      </c>
      <c r="B3" s="27">
        <f>COUNTIF('Per-Cell Validation'!B3:D14, "PASS") + COUNTIF('Per-Cell Validation'!B16:D16, "PASS")</f>
        <v>36</v>
      </c>
    </row>
    <row r="4" spans="1:2" x14ac:dyDescent="0.2">
      <c r="A4" s="1" t="s">
        <v>21</v>
      </c>
      <c r="B4" s="27">
        <f>COUNTA('Per-Cell Validation'!B3:D14) + COUNTA('Per-Cell Validation'!B16:D16) - B3</f>
        <v>3</v>
      </c>
    </row>
    <row r="6" spans="1:2" x14ac:dyDescent="0.2">
      <c r="A6" s="1" t="s">
        <v>22</v>
      </c>
      <c r="B6" s="28">
        <f>B3/(B3+B4)</f>
        <v>0.92307692307692313</v>
      </c>
    </row>
  </sheetData>
  <conditionalFormatting sqref="B6">
    <cfRule type="cellIs" dxfId="4" priority="4" operator="equal">
      <formula>1</formula>
    </cfRule>
    <cfRule type="cellIs" dxfId="7" priority="3" operator="lessThan">
      <formula>1</formula>
    </cfRule>
  </conditionalFormatting>
  <conditionalFormatting sqref="B4">
    <cfRule type="cellIs" dxfId="6" priority="2" operator="equal">
      <formula>0</formula>
    </cfRule>
    <cfRule type="cellIs" dxfId="5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&amp; Targets</vt:lpstr>
      <vt:lpstr>Targets Met</vt:lpstr>
      <vt:lpstr>Reference Results</vt:lpstr>
      <vt:lpstr>Per-Cell Validation</vt:lpstr>
      <vt:lpstr>PASS &amp; FAIL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2025-08-11T09:41:33Z</dcterms:modified>
</cp:coreProperties>
</file>